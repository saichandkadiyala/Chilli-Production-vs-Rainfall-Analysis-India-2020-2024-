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Driven Chilli Project\"/>
    </mc:Choice>
  </mc:AlternateContent>
  <xr:revisionPtr revIDLastSave="0" documentId="13_ncr:1_{665ECB31-74D0-46F7-B4C6-FE5065A311B1}" xr6:coauthVersionLast="47" xr6:coauthVersionMax="47" xr10:uidLastSave="{00000000-0000-0000-0000-000000000000}"/>
  <bookViews>
    <workbookView xWindow="-108" yWindow="-108" windowWidth="23256" windowHeight="12576" xr2:uid="{AC78FC15-5859-431E-8F0D-A89A703FDE4A}"/>
  </bookViews>
  <sheets>
    <sheet name="Master_sheet" sheetId="2" r:id="rId1"/>
    <sheet name="Yield&amp;Production_Summary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D21" i="3"/>
  <c r="D5" i="3"/>
  <c r="D6" i="3"/>
  <c r="D8" i="3"/>
  <c r="D9" i="3"/>
  <c r="D10" i="3"/>
  <c r="D11" i="3"/>
  <c r="D12" i="3"/>
  <c r="D13" i="3"/>
  <c r="D14" i="3"/>
  <c r="D15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" i="3"/>
  <c r="D4" i="3"/>
  <c r="D16" i="3"/>
  <c r="D17" i="3"/>
  <c r="D18" i="3"/>
  <c r="D19" i="3"/>
  <c r="D20" i="3"/>
  <c r="D22" i="3"/>
  <c r="D23" i="3"/>
  <c r="D24" i="3"/>
  <c r="D25" i="3"/>
  <c r="D26" i="3"/>
  <c r="D27" i="3"/>
  <c r="D28" i="3"/>
  <c r="D29" i="3"/>
  <c r="D30" i="3"/>
  <c r="D31" i="3"/>
  <c r="D32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" i="3"/>
  <c r="B4" i="3"/>
  <c r="B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A28" i="3"/>
  <c r="A29" i="3"/>
  <c r="A30" i="3"/>
  <c r="A31" i="3"/>
  <c r="A32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3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</calcChain>
</file>

<file path=xl/sharedStrings.xml><?xml version="1.0" encoding="utf-8"?>
<sst xmlns="http://schemas.openxmlformats.org/spreadsheetml/2006/main" count="56" uniqueCount="56">
  <si>
    <t>STATE</t>
  </si>
  <si>
    <t>2020-21 AREA</t>
  </si>
  <si>
    <t>2020-21 PRODUCTION</t>
  </si>
  <si>
    <t>2021-22 AREA</t>
  </si>
  <si>
    <t>2021-22 PRODUCTION</t>
  </si>
  <si>
    <t>2022-23 AREA</t>
  </si>
  <si>
    <t>2022-23 PRODUCTION</t>
  </si>
  <si>
    <t>2023-24 AREA</t>
  </si>
  <si>
    <t>2023-24 PRODUCTION</t>
  </si>
  <si>
    <t>2024-25 AREA</t>
  </si>
  <si>
    <t>2024-25 PRODUCTION</t>
  </si>
  <si>
    <t>Assam</t>
  </si>
  <si>
    <t>Bihar</t>
  </si>
  <si>
    <t>Chhattisgarh</t>
  </si>
  <si>
    <t>Goa</t>
  </si>
  <si>
    <t>Gujarat</t>
  </si>
  <si>
    <t>Haryana</t>
  </si>
  <si>
    <t>Jharkhand</t>
  </si>
  <si>
    <t>Karnataka</t>
  </si>
  <si>
    <t>Kerala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</si>
  <si>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</si>
  <si>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</si>
  <si>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</si>
  <si>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</si>
  <si>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</si>
  <si>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</si>
  <si>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</si>
  <si>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</si>
  <si>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</si>
  <si>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</si>
  <si>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</si>
  <si>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</si>
  <si>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Andaman &amp; Nicobar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</si>
  <si>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</si>
  <si>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</si>
  <si>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</si>
  <si>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</si>
  <si>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</si>
  <si>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</si>
  <si>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</si>
  <si>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RED CHILLI CULTIVATION AREA AND PRODUCTION ANALYSIS</t>
  </si>
  <si>
    <t>Jammu and Kashmir</t>
  </si>
  <si>
    <t>2020-21 Yield</t>
  </si>
  <si>
    <t>2021-22 Yield</t>
  </si>
  <si>
    <t>2022-23 Yield</t>
  </si>
  <si>
    <t>2023-24 Yield</t>
  </si>
  <si>
    <t>2024-25 Yield</t>
  </si>
  <si>
    <t>State</t>
  </si>
  <si>
    <t>Avg Yield</t>
  </si>
  <si>
    <t>Max Yield</t>
  </si>
  <si>
    <t>Min Yield</t>
  </si>
  <si>
    <t>Total Production of 5 Years</t>
  </si>
  <si>
    <t>Rank of Avg Yield</t>
  </si>
  <si>
    <t>Production Rank of 5 Years</t>
  </si>
  <si>
    <t>Avg Production</t>
  </si>
  <si>
    <t>Avg Production Rank of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</si>
</sst>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5" tint="-0.249977111117893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F1244A-7E6B-4361-9090-804EDBFFE98B}" name="Table2" displayName="Table2" ref="A2:P32" totalsRowShown="0">
  <autoFilter ref="A2:P32" xr:uid="{23F1244A-7E6B-4361-9090-804EDBFFE98B}"/>
  <tableColumns count="16">
    <tableColumn id="1" xr3:uid="{E344B2BD-352E-4216-B4C8-2D59AA0DF9D6}" name="STATE"/>
    <tableColumn id="2" xr3:uid="{79C6CBF4-C034-44D2-AE40-94BA8A2FB67C}" name="2020-21 AREA"/>
    <tableColumn id="3" xr3:uid="{422629FF-6400-4DFC-BC88-A6F54883E0BF}" name="2020-21 PRODUCTION"/>
    <tableColumn id="13" xr3:uid="{43760B87-0180-43B1-BF98-5721238488D2}" name="2020-21 Yield" dataDxfId="4">
      <calculatedColumnFormula>IF(B3=0,0,C3/B3)</calculatedColumnFormula>
    </tableColumn>
    <tableColumn id="4" xr3:uid="{09262134-79BC-4601-9CBE-86A4D8C8ADCE}" name="2021-22 AREA"/>
    <tableColumn id="5" xr3:uid="{DC38CAE9-652C-48BE-8311-4D5D5C00A318}" name="2021-22 PRODUCTION"/>
    <tableColumn id="14" xr3:uid="{9AE17739-FB1B-403D-986F-F6D7435DE4F1}" name="2021-22 Yield" dataDxfId="3">
      <calculatedColumnFormula>IF(E3=0,0,F3/E3)</calculatedColumnFormula>
    </tableColumn>
    <tableColumn id="6" xr3:uid="{F60EA248-30EC-4019-94D2-4462ACE09B2B}" name="2022-23 AREA"/>
    <tableColumn id="7" xr3:uid="{FC0CD561-7BCD-4C28-8EC2-0CC842FFC092}" name="2022-23 PRODUCTION"/>
    <tableColumn id="15" xr3:uid="{72155A44-2683-4109-AB19-3DC93F0CB2AF}" name="2022-23 Yield" dataDxfId="2">
      <calculatedColumnFormula>IF(H3=0,0,I3/H3)</calculatedColumnFormula>
    </tableColumn>
    <tableColumn id="8" xr3:uid="{3B1F2D9E-B462-493E-9691-D08302D3BDCA}" name="2023-24 AREA"/>
    <tableColumn id="9" xr3:uid="{155FD30A-FA5B-4185-BEED-5188E88BDD68}" name="2023-24 PRODUCTION"/>
    <tableColumn id="16" xr3:uid="{2A545863-1879-47AA-B4F0-9AA64253CC21}" name="2023-24 Yield" dataDxfId="1">
      <calculatedColumnFormula>IF(K3=0,0,L3/K3)</calculatedColumnFormula>
    </tableColumn>
    <tableColumn id="10" xr3:uid="{3F9B0620-DB74-4D85-A989-90DD0759C406}" name="2024-25 AREA"/>
    <tableColumn id="11" xr3:uid="{97508049-939A-4616-A5CF-9CE35B9B08BA}" name="2024-25 PRODUCTION"/>
    <tableColumn id="17" xr3:uid="{C3E2C3F9-5732-450D-8D2F-3F126FD285E1}" name="2024-25 Yield" dataDxfId="0">
      <calculatedColumnFormula>IF(N3=0,0,O3/N3)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3ED3A1-19E5-4DFC-A213-D68D5E5CDC0A}" name="Table3" displayName="Table3" ref="A2:I32" totalsRowShown="0">
  <autoFilter ref="A2:I32" xr:uid="{2A3ED3A1-19E5-4DFC-A213-D68D5E5CDC0A}"/>
  <tableColumns count="9">
    <tableColumn id="1" xr3:uid="{D7CAF1D3-FEB9-4C04-8692-A19C85A8CC78}" name="State">
      <calculatedColumnFormula>Master_sheet!A3</calculatedColumnFormula>
    </tableColumn>
    <tableColumn id="2" xr3:uid="{C8E390C5-DEE7-47A1-BF9D-0FAD7CF08D57}" name="Avg Yield">
      <calculatedColumnFormula>AVERAGE(Master_sheet!D3,Master_sheet!G3,Master_sheet!J3,Master_sheet!M3,Master_sheet!P3)</calculatedColumnFormula>
    </tableColumn>
    <tableColumn id="3" xr3:uid="{30B69E27-8047-4DE5-A9A2-900007A97EE5}" name="Max Yield">
      <calculatedColumnFormula>MAX(Master_sheet!D3,Master_sheet!G3,Master_sheet!J3,Master_sheet!M3,Master_sheet!P3)</calculatedColumnFormula>
    </tableColumn>
    <tableColumn id="4" xr3:uid="{5D95B6CC-BF36-4B33-98AA-13B998451B29}" name="Min Yield">
      <calculatedColumnFormula>MIN(Master_sheet!D3,Master_sheet!G3,Master_sheet!J3,Master_sheet!M3,Master_sheet!P3)</calculatedColumnFormula>
    </tableColumn>
    <tableColumn id="5" xr3:uid="{8ECF96E4-1FEB-4CCD-A073-D2F9C15C6CC3}" name="Rank of Avg Yield">
      <calculatedColumnFormula>RANK(B3,$B$3:$B$32,0)</calculatedColumnFormula>
    </tableColumn>
    <tableColumn id="6" xr3:uid="{B09A2A84-7E55-41DA-AE6B-6BD57108A5C4}" name="Total Production of 5 Years">
      <calculatedColumnFormula>SUM(Master_sheet!C3,Master_sheet!F3,Master_sheet!I3,Master_sheet!L3,Master_sheet!O3)</calculatedColumnFormula>
    </tableColumn>
    <tableColumn id="7" xr3:uid="{F1C43F42-7573-4F46-8D3B-C7A30D9FD1CC}" name="Production Rank of 5 Years">
      <calculatedColumnFormula>RANK(F3,$F$3:$F$32,0)</calculatedColumnFormula>
    </tableColumn>
    <tableColumn id="8" xr3:uid="{87C45BC4-028D-400B-9F4E-DE7A8B1EEEE0}" name="Avg Production">
      <calculatedColumnFormula>F3/5</calculatedColumnFormula>
    </tableColumn>
    <tableColumn id="9" xr3:uid="{A8059878-7513-4B61-AF9B-BACC426D2825}" name="Avg Production Rank of 5 Years">
      <calculatedColumnFormula>RANK(H3,$H$3:$H$32,0)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8938-7E86-4D7F-B342-BDF713EBBC8D}">
  <dimension ref="A1:P32"/>
  <sheetViews>
    <sheetView tabSelected="1" workbookViewId="0">
      <selection activeCell="B2" sqref="B1:B1048576"/>
    </sheetView>
  </sheetViews>
  <sheetFormatPr defaultRowHeight="14.4" x14ac:dyDescent="0.3"/>
  <cols>
    <col min="1" max="1" width="17.21875" customWidth="1"/>
    <col min="2" max="2" width="14.6640625" customWidth="1"/>
    <col min="3" max="3" width="21.44140625" customWidth="1"/>
    <col min="4" max="4" width="14.5546875" customWidth="1"/>
    <col min="5" max="5" width="21.44140625" customWidth="1"/>
    <col min="6" max="6" width="14.5546875" customWidth="1"/>
    <col min="7" max="7" width="21.44140625" customWidth="1"/>
    <col min="8" max="8" width="19" customWidth="1"/>
    <col min="9" max="9" width="22.33203125" customWidth="1"/>
    <col min="10" max="10" width="14.77734375" customWidth="1"/>
    <col min="11" max="11" width="21.44140625" customWidth="1"/>
    <col min="12" max="12" width="22.44140625" customWidth="1"/>
    <col min="13" max="13" width="14.5546875" customWidth="1"/>
    <col min="14" max="14" width="18.109375" customWidth="1"/>
    <col min="15" max="15" width="23" customWidth="1"/>
    <col min="16" max="16" width="17.88671875" customWidth="1"/>
  </cols>
  <sheetData>
    <row r="1" spans="1:16" ht="19.8" x14ac:dyDescent="0.4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spans="1:16" x14ac:dyDescent="0.3">
      <c r="A2" t="s">
        <v>0</v>
      </c>
      <c r="B2" t="s">
        <v>1</v>
      </c>
      <c r="C2" t="s">
        <v>2</v>
      </c>
      <c r="D2" t="s">
        <v>42</v>
      </c>
      <c r="E2" t="s">
        <v>3</v>
      </c>
      <c r="F2" t="s">
        <v>4</v>
      </c>
      <c r="G2" t="s">
        <v>43</v>
      </c>
      <c r="H2" t="s">
        <v>5</v>
      </c>
      <c r="I2" t="s">
        <v>6</v>
      </c>
      <c r="J2" t="s">
        <v>44</v>
      </c>
      <c r="K2" t="s">
        <v>7</v>
      </c>
      <c r="L2" t="s">
        <v>8</v>
      </c>
      <c r="M2" t="s">
        <v>45</v>
      </c>
      <c r="N2" t="s">
        <v>9</v>
      </c>
      <c r="O2" t="s">
        <v>10</v>
      </c>
      <c r="P2" t="s">
        <v>46</v>
      </c>
    </row>
    <row r="3" spans="1:16" x14ac:dyDescent="0.3">
      <c r="A3" t="s">
        <v>32</v>
      </c>
      <c r="B3">
        <v>35</v>
      </c>
      <c r="C3">
        <v>118</v>
      </c>
      <c r="D3">
        <f t="shared" ref="D3:D32" si="0">IF(B3=0,0,C3/B3)</f>
        <v>3.3714285714285714</v>
      </c>
      <c r="E3">
        <v>98</v>
      </c>
      <c r="F3">
        <v>340</v>
      </c>
      <c r="G3">
        <f t="shared" ref="G3:G32" si="1">IF(E3=0,0,F3/E3)</f>
        <v>3.4693877551020407</v>
      </c>
      <c r="H3">
        <v>95</v>
      </c>
      <c r="I3">
        <v>370</v>
      </c>
      <c r="J3">
        <f t="shared" ref="J3:J32" si="2">IF(H3=0,0,I3/H3)</f>
        <v>3.8947368421052633</v>
      </c>
      <c r="K3">
        <v>63</v>
      </c>
      <c r="L3">
        <v>167</v>
      </c>
      <c r="M3">
        <f t="shared" ref="M3:M32" si="3">IF(K3=0,0,L3/K3)</f>
        <v>2.6507936507936507</v>
      </c>
      <c r="N3">
        <v>63</v>
      </c>
      <c r="O3">
        <v>167</v>
      </c>
      <c r="P3">
        <f t="shared" ref="P3:P32" si="4">IF(N3=0,0,O3/N3)</f>
        <v>2.6507936507936507</v>
      </c>
    </row>
    <row r="4" spans="1:16" x14ac:dyDescent="0.3">
      <c r="A4" t="s">
        <v>33</v>
      </c>
      <c r="B4">
        <v>177456</v>
      </c>
      <c r="C4">
        <v>796653</v>
      </c>
      <c r="D4">
        <f t="shared" si="0"/>
        <v>4.489298755747904</v>
      </c>
      <c r="E4">
        <v>225067</v>
      </c>
      <c r="F4">
        <v>417813</v>
      </c>
      <c r="G4">
        <f t="shared" si="1"/>
        <v>1.8563938738242389</v>
      </c>
      <c r="H4">
        <v>258204</v>
      </c>
      <c r="I4">
        <v>1458787</v>
      </c>
      <c r="J4">
        <f t="shared" si="2"/>
        <v>5.649745937320878</v>
      </c>
      <c r="K4">
        <v>269748</v>
      </c>
      <c r="L4">
        <v>1212896</v>
      </c>
      <c r="M4">
        <f t="shared" si="3"/>
        <v>4.4964040511885166</v>
      </c>
      <c r="N4">
        <v>176572</v>
      </c>
      <c r="O4">
        <v>1032946</v>
      </c>
      <c r="P4">
        <f t="shared" si="4"/>
        <v>5.8499988673175816</v>
      </c>
    </row>
    <row r="5" spans="1:16" x14ac:dyDescent="0.3">
      <c r="A5" t="s">
        <v>34</v>
      </c>
      <c r="B5">
        <v>1062</v>
      </c>
      <c r="C5">
        <v>2377</v>
      </c>
      <c r="D5">
        <f t="shared" si="0"/>
        <v>2.2382297551789079</v>
      </c>
      <c r="E5">
        <v>3</v>
      </c>
      <c r="F5">
        <v>5</v>
      </c>
      <c r="G5">
        <f t="shared" si="1"/>
        <v>1.6666666666666667</v>
      </c>
      <c r="H5">
        <v>323</v>
      </c>
      <c r="I5">
        <v>978</v>
      </c>
      <c r="J5">
        <f t="shared" si="2"/>
        <v>3.0278637770897832</v>
      </c>
      <c r="K5">
        <v>5</v>
      </c>
      <c r="L5">
        <v>15</v>
      </c>
      <c r="M5">
        <f t="shared" si="3"/>
        <v>3</v>
      </c>
      <c r="N5">
        <v>5</v>
      </c>
      <c r="O5">
        <v>15</v>
      </c>
      <c r="P5">
        <f t="shared" si="4"/>
        <v>3</v>
      </c>
    </row>
    <row r="6" spans="1:16" x14ac:dyDescent="0.3">
      <c r="A6" t="s">
        <v>11</v>
      </c>
      <c r="B6">
        <v>20459</v>
      </c>
      <c r="C6">
        <v>20189</v>
      </c>
      <c r="D6">
        <f t="shared" si="0"/>
        <v>0.9868028740407645</v>
      </c>
      <c r="E6">
        <v>20307</v>
      </c>
      <c r="F6">
        <v>20611</v>
      </c>
      <c r="G6">
        <f t="shared" si="1"/>
        <v>1.0149702073176736</v>
      </c>
      <c r="H6">
        <v>21536</v>
      </c>
      <c r="I6">
        <v>22270</v>
      </c>
      <c r="J6">
        <f t="shared" si="2"/>
        <v>1.0340824665676078</v>
      </c>
      <c r="K6">
        <v>20907</v>
      </c>
      <c r="L6">
        <v>21682</v>
      </c>
      <c r="M6">
        <f t="shared" si="3"/>
        <v>1.0370689242837328</v>
      </c>
      <c r="N6">
        <v>21002</v>
      </c>
      <c r="O6">
        <v>21794</v>
      </c>
      <c r="P6">
        <f t="shared" si="4"/>
        <v>1.0377106942195982</v>
      </c>
    </row>
    <row r="7" spans="1:16" x14ac:dyDescent="0.3">
      <c r="A7" t="s">
        <v>12</v>
      </c>
      <c r="B7">
        <v>1622</v>
      </c>
      <c r="C7">
        <v>3652</v>
      </c>
      <c r="D7">
        <f t="shared" si="0"/>
        <v>2.2515413070283601</v>
      </c>
      <c r="E7">
        <v>1338</v>
      </c>
      <c r="F7">
        <v>3617</v>
      </c>
      <c r="G7">
        <f t="shared" si="1"/>
        <v>2.703288490284006</v>
      </c>
      <c r="H7">
        <v>1450</v>
      </c>
      <c r="I7">
        <v>2961</v>
      </c>
      <c r="J7">
        <f t="shared" si="2"/>
        <v>2.0420689655172413</v>
      </c>
      <c r="K7">
        <v>2646</v>
      </c>
      <c r="L7">
        <v>4644</v>
      </c>
      <c r="M7">
        <f t="shared" si="3"/>
        <v>1.7551020408163265</v>
      </c>
      <c r="N7">
        <v>2646</v>
      </c>
      <c r="O7">
        <v>4644</v>
      </c>
      <c r="P7">
        <f t="shared" si="4"/>
        <v>1.7551020408163265</v>
      </c>
    </row>
    <row r="8" spans="1:16" x14ac:dyDescent="0.3">
      <c r="A8" t="s">
        <v>13</v>
      </c>
      <c r="B8">
        <v>5415</v>
      </c>
      <c r="C8">
        <v>3249</v>
      </c>
      <c r="D8">
        <f t="shared" si="0"/>
        <v>0.6</v>
      </c>
      <c r="E8">
        <v>4720</v>
      </c>
      <c r="F8">
        <v>3107</v>
      </c>
      <c r="G8">
        <f t="shared" si="1"/>
        <v>0.65826271186440677</v>
      </c>
      <c r="H8">
        <v>4901</v>
      </c>
      <c r="I8">
        <v>3204</v>
      </c>
      <c r="J8">
        <f t="shared" si="2"/>
        <v>0.65374413385023467</v>
      </c>
      <c r="K8">
        <v>4443</v>
      </c>
      <c r="L8">
        <v>2909</v>
      </c>
      <c r="M8">
        <f t="shared" si="3"/>
        <v>0.65473778978167907</v>
      </c>
      <c r="N8">
        <v>4443</v>
      </c>
      <c r="O8">
        <v>2909</v>
      </c>
      <c r="P8">
        <f t="shared" si="4"/>
        <v>0.65473778978167907</v>
      </c>
    </row>
    <row r="9" spans="1:16" x14ac:dyDescent="0.3">
      <c r="A9" t="s">
        <v>14</v>
      </c>
      <c r="B9">
        <v>0</v>
      </c>
      <c r="C9">
        <v>0</v>
      </c>
      <c r="D9">
        <f t="shared" si="0"/>
        <v>0</v>
      </c>
      <c r="E9">
        <v>0</v>
      </c>
      <c r="F9">
        <v>0</v>
      </c>
      <c r="G9">
        <f t="shared" si="1"/>
        <v>0</v>
      </c>
      <c r="H9">
        <v>0</v>
      </c>
      <c r="I9">
        <v>0</v>
      </c>
      <c r="J9">
        <f t="shared" si="2"/>
        <v>0</v>
      </c>
      <c r="K9">
        <v>0</v>
      </c>
      <c r="L9">
        <v>0</v>
      </c>
      <c r="M9">
        <f t="shared" si="3"/>
        <v>0</v>
      </c>
      <c r="N9">
        <v>0</v>
      </c>
      <c r="O9">
        <v>0</v>
      </c>
      <c r="P9">
        <f t="shared" si="4"/>
        <v>0</v>
      </c>
    </row>
    <row r="10" spans="1:16" x14ac:dyDescent="0.3">
      <c r="A10" t="s">
        <v>15</v>
      </c>
      <c r="B10">
        <v>11930</v>
      </c>
      <c r="C10">
        <v>23345</v>
      </c>
      <c r="D10">
        <f t="shared" si="0"/>
        <v>1.9568315171835708</v>
      </c>
      <c r="E10">
        <v>14388</v>
      </c>
      <c r="F10">
        <v>28778</v>
      </c>
      <c r="G10">
        <f t="shared" si="1"/>
        <v>2.0001390047261607</v>
      </c>
      <c r="H10">
        <v>14059</v>
      </c>
      <c r="I10">
        <v>30651</v>
      </c>
      <c r="J10">
        <f t="shared" si="2"/>
        <v>2.1801692865779927</v>
      </c>
      <c r="K10">
        <v>15380</v>
      </c>
      <c r="L10">
        <v>36128</v>
      </c>
      <c r="M10">
        <f t="shared" si="3"/>
        <v>2.3490247074122235</v>
      </c>
      <c r="N10">
        <v>15380</v>
      </c>
      <c r="O10">
        <v>36128</v>
      </c>
      <c r="P10">
        <f t="shared" si="4"/>
        <v>2.3490247074122235</v>
      </c>
    </row>
    <row r="11" spans="1:16" x14ac:dyDescent="0.3">
      <c r="A11" t="s">
        <v>16</v>
      </c>
      <c r="B11">
        <v>0</v>
      </c>
      <c r="C11">
        <v>0</v>
      </c>
      <c r="D11">
        <f t="shared" si="0"/>
        <v>0</v>
      </c>
      <c r="E11">
        <v>0</v>
      </c>
      <c r="F11">
        <v>0</v>
      </c>
      <c r="G11">
        <f t="shared" si="1"/>
        <v>0</v>
      </c>
      <c r="H11">
        <v>0</v>
      </c>
      <c r="I11">
        <v>0</v>
      </c>
      <c r="J11">
        <f t="shared" si="2"/>
        <v>0</v>
      </c>
      <c r="K11">
        <v>0</v>
      </c>
      <c r="L11">
        <v>0</v>
      </c>
      <c r="M11">
        <f t="shared" si="3"/>
        <v>0</v>
      </c>
      <c r="N11">
        <v>0</v>
      </c>
      <c r="O11">
        <v>0</v>
      </c>
      <c r="P11">
        <f t="shared" si="4"/>
        <v>0</v>
      </c>
    </row>
    <row r="12" spans="1:16" x14ac:dyDescent="0.3">
      <c r="A12" t="s">
        <v>35</v>
      </c>
      <c r="B12">
        <v>643</v>
      </c>
      <c r="C12">
        <v>397</v>
      </c>
      <c r="D12">
        <f t="shared" si="0"/>
        <v>0.6174183514774495</v>
      </c>
      <c r="E12">
        <v>692</v>
      </c>
      <c r="F12">
        <v>433</v>
      </c>
      <c r="G12">
        <f t="shared" si="1"/>
        <v>0.62572254335260113</v>
      </c>
      <c r="H12">
        <v>600</v>
      </c>
      <c r="I12">
        <v>367</v>
      </c>
      <c r="J12">
        <f t="shared" si="2"/>
        <v>0.61166666666666669</v>
      </c>
      <c r="K12">
        <v>515</v>
      </c>
      <c r="L12">
        <v>322</v>
      </c>
      <c r="M12">
        <f t="shared" si="3"/>
        <v>0.62524271844660195</v>
      </c>
      <c r="N12">
        <v>535</v>
      </c>
      <c r="O12">
        <v>337</v>
      </c>
      <c r="P12">
        <f t="shared" si="4"/>
        <v>0.62990654205607477</v>
      </c>
    </row>
    <row r="13" spans="1:16" x14ac:dyDescent="0.3">
      <c r="A13" t="s">
        <v>17</v>
      </c>
      <c r="B13">
        <v>0</v>
      </c>
      <c r="C13">
        <v>0</v>
      </c>
      <c r="D13">
        <f t="shared" si="0"/>
        <v>0</v>
      </c>
      <c r="E13">
        <v>0</v>
      </c>
      <c r="F13">
        <v>0</v>
      </c>
      <c r="G13">
        <f t="shared" si="1"/>
        <v>0</v>
      </c>
      <c r="H13">
        <v>0</v>
      </c>
      <c r="I13">
        <v>0</v>
      </c>
      <c r="J13">
        <f t="shared" si="2"/>
        <v>0</v>
      </c>
      <c r="K13">
        <v>0</v>
      </c>
      <c r="L13">
        <v>0</v>
      </c>
      <c r="M13">
        <f t="shared" si="3"/>
        <v>0</v>
      </c>
      <c r="N13">
        <v>0</v>
      </c>
      <c r="O13">
        <v>0</v>
      </c>
      <c r="P13">
        <f t="shared" si="4"/>
        <v>0</v>
      </c>
    </row>
    <row r="14" spans="1:16" x14ac:dyDescent="0.3">
      <c r="A14" t="s">
        <v>18</v>
      </c>
      <c r="B14">
        <v>85598</v>
      </c>
      <c r="C14">
        <v>147049</v>
      </c>
      <c r="D14">
        <f t="shared" si="0"/>
        <v>1.7179022874366223</v>
      </c>
      <c r="E14">
        <v>130391</v>
      </c>
      <c r="F14">
        <v>177311</v>
      </c>
      <c r="G14">
        <f t="shared" si="1"/>
        <v>1.3598407865573545</v>
      </c>
      <c r="H14">
        <v>109730</v>
      </c>
      <c r="I14">
        <v>162833</v>
      </c>
      <c r="J14">
        <f t="shared" si="2"/>
        <v>1.4839424040827485</v>
      </c>
      <c r="K14">
        <v>170915</v>
      </c>
      <c r="L14">
        <v>280628</v>
      </c>
      <c r="M14">
        <f t="shared" si="3"/>
        <v>1.641915572067987</v>
      </c>
      <c r="N14">
        <v>219260</v>
      </c>
      <c r="O14">
        <v>336520</v>
      </c>
      <c r="P14">
        <f t="shared" si="4"/>
        <v>1.5347988689227401</v>
      </c>
    </row>
    <row r="15" spans="1:16" x14ac:dyDescent="0.3">
      <c r="A15" t="s">
        <v>19</v>
      </c>
      <c r="B15">
        <v>0</v>
      </c>
      <c r="C15">
        <v>0</v>
      </c>
      <c r="D15">
        <f t="shared" si="0"/>
        <v>0</v>
      </c>
      <c r="E15">
        <v>0</v>
      </c>
      <c r="F15">
        <v>0</v>
      </c>
      <c r="G15">
        <f t="shared" si="1"/>
        <v>0</v>
      </c>
      <c r="H15">
        <v>0</v>
      </c>
      <c r="I15">
        <v>0</v>
      </c>
      <c r="J15">
        <f t="shared" si="2"/>
        <v>0</v>
      </c>
      <c r="K15">
        <v>0</v>
      </c>
      <c r="L15">
        <v>0</v>
      </c>
      <c r="M15">
        <f t="shared" si="3"/>
        <v>0</v>
      </c>
      <c r="N15">
        <v>0</v>
      </c>
      <c r="O15">
        <v>0</v>
      </c>
      <c r="P15">
        <f t="shared" si="4"/>
        <v>0</v>
      </c>
    </row>
    <row r="16" spans="1:16" x14ac:dyDescent="0.3">
      <c r="A16" t="s">
        <v>36</v>
      </c>
      <c r="B16">
        <v>122198</v>
      </c>
      <c r="C16">
        <v>315598</v>
      </c>
      <c r="D16">
        <f t="shared" si="0"/>
        <v>2.5826772942274014</v>
      </c>
      <c r="E16">
        <v>122425</v>
      </c>
      <c r="F16">
        <v>319824</v>
      </c>
      <c r="G16">
        <f t="shared" si="1"/>
        <v>2.6124075964876456</v>
      </c>
      <c r="H16">
        <v>117375</v>
      </c>
      <c r="I16">
        <v>279820</v>
      </c>
      <c r="J16">
        <f t="shared" si="2"/>
        <v>2.3839829605963789</v>
      </c>
      <c r="K16">
        <v>114659</v>
      </c>
      <c r="L16">
        <v>301556</v>
      </c>
      <c r="M16">
        <f t="shared" si="3"/>
        <v>2.6300246818828001</v>
      </c>
      <c r="N16">
        <v>117379</v>
      </c>
      <c r="O16">
        <v>311265</v>
      </c>
      <c r="P16">
        <f t="shared" si="4"/>
        <v>2.6517946140280628</v>
      </c>
    </row>
    <row r="17" spans="1:16" x14ac:dyDescent="0.3">
      <c r="A17" t="s">
        <v>20</v>
      </c>
      <c r="B17">
        <v>5605</v>
      </c>
      <c r="C17">
        <v>24484</v>
      </c>
      <c r="D17">
        <f t="shared" si="0"/>
        <v>4.3682426404995542</v>
      </c>
      <c r="E17">
        <v>5773</v>
      </c>
      <c r="F17">
        <v>19876</v>
      </c>
      <c r="G17">
        <f t="shared" si="1"/>
        <v>3.442923956348519</v>
      </c>
      <c r="H17">
        <v>6110</v>
      </c>
      <c r="I17">
        <v>21152</v>
      </c>
      <c r="J17">
        <f t="shared" si="2"/>
        <v>3.4618657937806874</v>
      </c>
      <c r="K17">
        <v>6779</v>
      </c>
      <c r="L17">
        <v>16694</v>
      </c>
      <c r="M17">
        <f t="shared" si="3"/>
        <v>2.4626051039976398</v>
      </c>
      <c r="N17">
        <v>6779</v>
      </c>
      <c r="O17">
        <v>16694</v>
      </c>
      <c r="P17">
        <f t="shared" si="4"/>
        <v>2.4626051039976398</v>
      </c>
    </row>
    <row r="18" spans="1:16" x14ac:dyDescent="0.3">
      <c r="A18" t="s">
        <v>21</v>
      </c>
      <c r="B18">
        <v>0</v>
      </c>
      <c r="C18">
        <v>0</v>
      </c>
      <c r="D18">
        <f t="shared" si="0"/>
        <v>0</v>
      </c>
      <c r="E18">
        <v>2600</v>
      </c>
      <c r="F18">
        <v>1560</v>
      </c>
      <c r="G18">
        <f t="shared" si="1"/>
        <v>0.6</v>
      </c>
      <c r="H18">
        <v>1820</v>
      </c>
      <c r="I18">
        <v>1092</v>
      </c>
      <c r="J18">
        <f t="shared" si="2"/>
        <v>0.6</v>
      </c>
      <c r="K18">
        <v>300</v>
      </c>
      <c r="L18">
        <v>3814</v>
      </c>
      <c r="M18">
        <f t="shared" si="3"/>
        <v>12.713333333333333</v>
      </c>
      <c r="N18">
        <v>300</v>
      </c>
      <c r="O18">
        <v>3814</v>
      </c>
      <c r="P18">
        <f t="shared" si="4"/>
        <v>12.713333333333333</v>
      </c>
    </row>
    <row r="19" spans="1:16" x14ac:dyDescent="0.3">
      <c r="A19" t="s">
        <v>22</v>
      </c>
      <c r="B19">
        <v>0</v>
      </c>
      <c r="C19">
        <v>0</v>
      </c>
      <c r="D19">
        <f t="shared" si="0"/>
        <v>0</v>
      </c>
      <c r="E19">
        <v>0</v>
      </c>
      <c r="F19">
        <v>0</v>
      </c>
      <c r="G19">
        <f t="shared" si="1"/>
        <v>0</v>
      </c>
      <c r="H19">
        <v>0</v>
      </c>
      <c r="I19">
        <v>0</v>
      </c>
      <c r="J19">
        <f t="shared" si="2"/>
        <v>0</v>
      </c>
      <c r="K19">
        <v>0</v>
      </c>
      <c r="L19">
        <v>0</v>
      </c>
      <c r="M19">
        <f t="shared" si="3"/>
        <v>0</v>
      </c>
      <c r="N19">
        <v>0</v>
      </c>
      <c r="O19">
        <v>0</v>
      </c>
      <c r="P19">
        <f t="shared" si="4"/>
        <v>0</v>
      </c>
    </row>
    <row r="20" spans="1:16" x14ac:dyDescent="0.3">
      <c r="A20" t="s">
        <v>23</v>
      </c>
      <c r="B20">
        <v>11196</v>
      </c>
      <c r="C20">
        <v>10918</v>
      </c>
      <c r="D20">
        <f t="shared" si="0"/>
        <v>0.97516970346552345</v>
      </c>
      <c r="E20">
        <v>11196</v>
      </c>
      <c r="F20">
        <v>10918</v>
      </c>
      <c r="G20">
        <f t="shared" si="1"/>
        <v>0.97516970346552345</v>
      </c>
      <c r="H20">
        <v>10030</v>
      </c>
      <c r="I20">
        <v>9960</v>
      </c>
      <c r="J20">
        <f t="shared" si="2"/>
        <v>0.99302093718843465</v>
      </c>
      <c r="K20">
        <v>10936</v>
      </c>
      <c r="L20">
        <v>10918</v>
      </c>
      <c r="M20">
        <f t="shared" si="3"/>
        <v>0.99835405998536941</v>
      </c>
      <c r="N20">
        <v>10936</v>
      </c>
      <c r="O20">
        <v>10918</v>
      </c>
      <c r="P20">
        <f t="shared" si="4"/>
        <v>0.99835405998536941</v>
      </c>
    </row>
    <row r="21" spans="1:16" x14ac:dyDescent="0.3">
      <c r="A21" t="s">
        <v>24</v>
      </c>
      <c r="B21">
        <v>1980</v>
      </c>
      <c r="C21">
        <v>4328</v>
      </c>
      <c r="D21">
        <f t="shared" si="0"/>
        <v>2.1858585858585857</v>
      </c>
      <c r="E21">
        <v>1285</v>
      </c>
      <c r="F21">
        <v>1572</v>
      </c>
      <c r="G21">
        <f t="shared" si="1"/>
        <v>1.2233463035019456</v>
      </c>
      <c r="H21">
        <v>2056</v>
      </c>
      <c r="I21">
        <v>4435</v>
      </c>
      <c r="J21">
        <f t="shared" si="2"/>
        <v>2.157101167315175</v>
      </c>
      <c r="K21">
        <v>2077</v>
      </c>
      <c r="L21">
        <v>4516</v>
      </c>
      <c r="M21">
        <f t="shared" si="3"/>
        <v>2.1742898411169955</v>
      </c>
      <c r="N21">
        <v>2077</v>
      </c>
      <c r="O21">
        <v>4516</v>
      </c>
      <c r="P21">
        <f t="shared" si="4"/>
        <v>2.1742898411169955</v>
      </c>
    </row>
    <row r="22" spans="1:16" x14ac:dyDescent="0.3">
      <c r="A22" t="s">
        <v>25</v>
      </c>
      <c r="B22">
        <v>71700</v>
      </c>
      <c r="C22">
        <v>69280</v>
      </c>
      <c r="D22">
        <f t="shared" si="0"/>
        <v>0.96624825662482561</v>
      </c>
      <c r="E22">
        <v>71699</v>
      </c>
      <c r="F22">
        <v>69257</v>
      </c>
      <c r="G22">
        <f t="shared" si="1"/>
        <v>0.9659409475724906</v>
      </c>
      <c r="H22">
        <v>74348</v>
      </c>
      <c r="I22">
        <v>89000</v>
      </c>
      <c r="J22">
        <f t="shared" si="2"/>
        <v>1.1970732232205306</v>
      </c>
      <c r="K22">
        <v>74348</v>
      </c>
      <c r="L22">
        <v>89000</v>
      </c>
      <c r="M22">
        <f t="shared" si="3"/>
        <v>1.1970732232205306</v>
      </c>
      <c r="N22">
        <v>74348</v>
      </c>
      <c r="O22">
        <v>89000</v>
      </c>
      <c r="P22">
        <f t="shared" si="4"/>
        <v>1.1970732232205306</v>
      </c>
    </row>
    <row r="23" spans="1:16" x14ac:dyDescent="0.3">
      <c r="A23" t="s">
        <v>26</v>
      </c>
      <c r="B23">
        <v>8777</v>
      </c>
      <c r="C23">
        <v>17630</v>
      </c>
      <c r="D23">
        <f t="shared" si="0"/>
        <v>2.0086589951008316</v>
      </c>
      <c r="E23">
        <v>9920</v>
      </c>
      <c r="F23">
        <v>19963</v>
      </c>
      <c r="G23">
        <f t="shared" si="1"/>
        <v>2.0123991935483869</v>
      </c>
      <c r="H23">
        <v>10614</v>
      </c>
      <c r="I23">
        <v>21416</v>
      </c>
      <c r="J23">
        <f t="shared" si="2"/>
        <v>2.0177124552477861</v>
      </c>
      <c r="K23">
        <v>11398</v>
      </c>
      <c r="L23">
        <v>23091</v>
      </c>
      <c r="M23">
        <f t="shared" si="3"/>
        <v>2.0258817336374801</v>
      </c>
      <c r="N23">
        <v>11398</v>
      </c>
      <c r="O23">
        <v>23091</v>
      </c>
      <c r="P23">
        <f t="shared" si="4"/>
        <v>2.0258817336374801</v>
      </c>
    </row>
    <row r="24" spans="1:16" x14ac:dyDescent="0.3">
      <c r="A24" t="s">
        <v>27</v>
      </c>
      <c r="B24">
        <v>6603</v>
      </c>
      <c r="C24">
        <v>10925</v>
      </c>
      <c r="D24">
        <f t="shared" si="0"/>
        <v>1.654550961684083</v>
      </c>
      <c r="E24">
        <v>7861</v>
      </c>
      <c r="F24">
        <v>13378</v>
      </c>
      <c r="G24">
        <f t="shared" si="1"/>
        <v>1.7018191069838442</v>
      </c>
      <c r="H24">
        <v>6397</v>
      </c>
      <c r="I24">
        <v>11738</v>
      </c>
      <c r="J24">
        <f t="shared" si="2"/>
        <v>1.8349226199781148</v>
      </c>
      <c r="K24">
        <v>5831</v>
      </c>
      <c r="L24">
        <v>12933</v>
      </c>
      <c r="M24">
        <f t="shared" si="3"/>
        <v>2.2179729034470932</v>
      </c>
      <c r="N24">
        <v>8048</v>
      </c>
      <c r="O24">
        <v>14388</v>
      </c>
      <c r="P24">
        <f t="shared" si="4"/>
        <v>1.7877733598409542</v>
      </c>
    </row>
    <row r="25" spans="1:16" x14ac:dyDescent="0.3">
      <c r="A25" t="s">
        <v>28</v>
      </c>
      <c r="B25">
        <v>0</v>
      </c>
      <c r="C25">
        <v>0</v>
      </c>
      <c r="D25">
        <f t="shared" si="0"/>
        <v>0</v>
      </c>
      <c r="E25">
        <v>0</v>
      </c>
      <c r="F25">
        <v>0</v>
      </c>
      <c r="G25">
        <f t="shared" si="1"/>
        <v>0</v>
      </c>
      <c r="H25">
        <v>0</v>
      </c>
      <c r="I25">
        <v>0</v>
      </c>
      <c r="J25">
        <f t="shared" si="2"/>
        <v>0</v>
      </c>
      <c r="K25">
        <v>0</v>
      </c>
      <c r="L25">
        <v>0</v>
      </c>
      <c r="M25">
        <f t="shared" si="3"/>
        <v>0</v>
      </c>
      <c r="N25">
        <v>0</v>
      </c>
      <c r="O25">
        <v>0</v>
      </c>
      <c r="P25">
        <f t="shared" si="4"/>
        <v>0</v>
      </c>
    </row>
    <row r="26" spans="1:16" x14ac:dyDescent="0.3">
      <c r="A26" t="s">
        <v>37</v>
      </c>
      <c r="B26">
        <v>54232</v>
      </c>
      <c r="C26">
        <v>25057</v>
      </c>
      <c r="D26">
        <f t="shared" si="0"/>
        <v>0.46203348576486208</v>
      </c>
      <c r="E26">
        <v>53173</v>
      </c>
      <c r="F26">
        <v>26382</v>
      </c>
      <c r="G26">
        <f t="shared" si="1"/>
        <v>0.49615406315235178</v>
      </c>
      <c r="H26">
        <v>52703</v>
      </c>
      <c r="I26">
        <v>25292</v>
      </c>
      <c r="J26">
        <f t="shared" si="2"/>
        <v>0.47989678006944575</v>
      </c>
      <c r="K26">
        <v>48203</v>
      </c>
      <c r="L26">
        <v>28559</v>
      </c>
      <c r="M26">
        <f t="shared" si="3"/>
        <v>0.59247349750015554</v>
      </c>
      <c r="N26">
        <v>49167</v>
      </c>
      <c r="O26">
        <v>30592</v>
      </c>
      <c r="P26">
        <f t="shared" si="4"/>
        <v>0.62220595114609389</v>
      </c>
    </row>
    <row r="27" spans="1:16" x14ac:dyDescent="0.3">
      <c r="A27" t="s">
        <v>29</v>
      </c>
      <c r="B27">
        <v>89156</v>
      </c>
      <c r="C27">
        <v>536541</v>
      </c>
      <c r="D27">
        <f t="shared" si="0"/>
        <v>6.0180021535286468</v>
      </c>
      <c r="E27">
        <v>157107</v>
      </c>
      <c r="F27">
        <v>651344</v>
      </c>
      <c r="G27">
        <f t="shared" si="1"/>
        <v>4.1458623740508065</v>
      </c>
      <c r="H27">
        <v>112393</v>
      </c>
      <c r="I27">
        <v>573206</v>
      </c>
      <c r="J27">
        <f t="shared" si="2"/>
        <v>5.1000151254971398</v>
      </c>
      <c r="K27">
        <v>158827</v>
      </c>
      <c r="L27">
        <v>794422</v>
      </c>
      <c r="M27">
        <f t="shared" si="3"/>
        <v>5.0018069975507942</v>
      </c>
      <c r="N27">
        <v>153739</v>
      </c>
      <c r="O27">
        <v>688541</v>
      </c>
      <c r="P27">
        <f t="shared" si="4"/>
        <v>4.4786358698833739</v>
      </c>
    </row>
    <row r="28" spans="1:16" x14ac:dyDescent="0.3">
      <c r="A28" t="s">
        <v>30</v>
      </c>
      <c r="B28">
        <v>2825</v>
      </c>
      <c r="C28">
        <v>6698</v>
      </c>
      <c r="D28">
        <f t="shared" si="0"/>
        <v>2.3709734513274334</v>
      </c>
      <c r="E28">
        <v>2975</v>
      </c>
      <c r="F28">
        <v>6960</v>
      </c>
      <c r="G28">
        <f t="shared" si="1"/>
        <v>2.3394957983193279</v>
      </c>
      <c r="H28">
        <v>2805</v>
      </c>
      <c r="I28">
        <v>8338</v>
      </c>
      <c r="J28">
        <f t="shared" si="2"/>
        <v>2.9725490196078432</v>
      </c>
      <c r="K28">
        <v>2806</v>
      </c>
      <c r="L28">
        <v>8362</v>
      </c>
      <c r="M28">
        <f t="shared" si="3"/>
        <v>2.9800427655024948</v>
      </c>
      <c r="N28">
        <v>2806</v>
      </c>
      <c r="O28">
        <v>8362</v>
      </c>
      <c r="P28">
        <f t="shared" si="4"/>
        <v>2.9800427655024948</v>
      </c>
    </row>
    <row r="29" spans="1:16" x14ac:dyDescent="0.3">
      <c r="A29" t="s">
        <v>38</v>
      </c>
      <c r="B29">
        <v>13600</v>
      </c>
      <c r="C29">
        <v>12065</v>
      </c>
      <c r="D29">
        <f t="shared" si="0"/>
        <v>0.88713235294117643</v>
      </c>
      <c r="E29">
        <v>31074</v>
      </c>
      <c r="F29">
        <v>25410</v>
      </c>
      <c r="G29">
        <f t="shared" si="1"/>
        <v>0.81772542961961769</v>
      </c>
      <c r="H29">
        <v>32123</v>
      </c>
      <c r="I29">
        <v>27491</v>
      </c>
      <c r="J29">
        <f t="shared" si="2"/>
        <v>0.85580425240481894</v>
      </c>
      <c r="K29">
        <v>32680</v>
      </c>
      <c r="L29">
        <v>29629</v>
      </c>
      <c r="M29">
        <f t="shared" si="3"/>
        <v>0.90664014687882499</v>
      </c>
      <c r="N29">
        <v>32680</v>
      </c>
      <c r="O29">
        <v>29629</v>
      </c>
      <c r="P29">
        <f t="shared" si="4"/>
        <v>0.90664014687882499</v>
      </c>
    </row>
    <row r="30" spans="1:16" x14ac:dyDescent="0.3">
      <c r="A30" t="s">
        <v>31</v>
      </c>
      <c r="B30">
        <v>2869</v>
      </c>
      <c r="C30">
        <v>9685</v>
      </c>
      <c r="D30">
        <f t="shared" si="0"/>
        <v>3.3757406761937956</v>
      </c>
      <c r="E30">
        <v>2751</v>
      </c>
      <c r="F30">
        <v>9334</v>
      </c>
      <c r="G30">
        <f t="shared" si="1"/>
        <v>3.3929480189022172</v>
      </c>
      <c r="H30">
        <v>3724</v>
      </c>
      <c r="I30">
        <v>10745</v>
      </c>
      <c r="J30">
        <f t="shared" si="2"/>
        <v>2.8853383458646618</v>
      </c>
      <c r="K30">
        <v>3513</v>
      </c>
      <c r="L30">
        <v>10041</v>
      </c>
      <c r="M30">
        <f t="shared" si="3"/>
        <v>2.8582408198121265</v>
      </c>
      <c r="N30">
        <v>3373</v>
      </c>
      <c r="O30">
        <v>10116</v>
      </c>
      <c r="P30">
        <f t="shared" si="4"/>
        <v>2.9991105840498071</v>
      </c>
    </row>
    <row r="31" spans="1:16" x14ac:dyDescent="0.3">
      <c r="A31" t="s">
        <v>39</v>
      </c>
      <c r="B31">
        <v>4930</v>
      </c>
      <c r="C31">
        <v>7821</v>
      </c>
      <c r="D31">
        <f t="shared" si="0"/>
        <v>1.5864097363083165</v>
      </c>
      <c r="E31">
        <v>4508</v>
      </c>
      <c r="F31">
        <v>7783</v>
      </c>
      <c r="G31">
        <f t="shared" si="1"/>
        <v>1.7264862466725821</v>
      </c>
      <c r="H31">
        <v>7593</v>
      </c>
      <c r="I31">
        <v>15413</v>
      </c>
      <c r="J31">
        <f t="shared" si="2"/>
        <v>2.029895956802318</v>
      </c>
      <c r="K31">
        <v>7913</v>
      </c>
      <c r="L31">
        <v>16351</v>
      </c>
      <c r="M31">
        <f t="shared" si="3"/>
        <v>2.0663465183874639</v>
      </c>
      <c r="N31">
        <v>7913</v>
      </c>
      <c r="O31">
        <v>16350</v>
      </c>
      <c r="P31">
        <f t="shared" si="4"/>
        <v>2.0662201440667256</v>
      </c>
    </row>
    <row r="32" spans="1:16" x14ac:dyDescent="0.3">
      <c r="A32" t="s">
        <v>41</v>
      </c>
      <c r="B32">
        <v>664</v>
      </c>
      <c r="C32">
        <v>551</v>
      </c>
      <c r="D32">
        <f t="shared" si="0"/>
        <v>0.82981927710843373</v>
      </c>
      <c r="E32">
        <v>639</v>
      </c>
      <c r="F32">
        <v>512</v>
      </c>
      <c r="G32">
        <f t="shared" si="1"/>
        <v>0.80125195618153366</v>
      </c>
      <c r="H32">
        <v>613</v>
      </c>
      <c r="I32">
        <v>470</v>
      </c>
      <c r="J32">
        <f t="shared" si="2"/>
        <v>0.76672104404567698</v>
      </c>
      <c r="K32">
        <v>714</v>
      </c>
      <c r="L32">
        <v>558</v>
      </c>
      <c r="M32">
        <f t="shared" si="3"/>
        <v>0.78151260504201681</v>
      </c>
      <c r="N32">
        <v>685</v>
      </c>
      <c r="O32">
        <v>520</v>
      </c>
      <c r="P32">
        <f t="shared" si="4"/>
        <v>0.75912408759124084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3DB6-0391-4B60-8C56-122E5E1F398E}">
  <dimension ref="A2:I32"/>
  <sheetViews>
    <sheetView topLeftCell="B13" workbookViewId="0">
      <selection activeCell="A2" sqref="A2:I32"/>
    </sheetView>
  </sheetViews>
  <sheetFormatPr defaultRowHeight="14.4" x14ac:dyDescent="0.3"/>
  <cols>
    <col min="1" max="1" width="22.88671875" customWidth="1"/>
    <col min="2" max="2" width="17.6640625" customWidth="1"/>
    <col min="3" max="3" width="11" customWidth="1"/>
    <col min="4" max="4" width="10.6640625" customWidth="1"/>
    <col min="5" max="5" width="17.44140625" customWidth="1"/>
    <col min="6" max="7" width="25.44140625" customWidth="1"/>
    <col min="8" max="8" width="15.88671875" customWidth="1"/>
    <col min="9" max="9" width="29.109375" customWidth="1"/>
  </cols>
  <sheetData>
    <row r="2" spans="1:9" x14ac:dyDescent="0.3">
      <c r="A2" t="s">
        <v>47</v>
      </c>
      <c r="B2" t="s">
        <v>48</v>
      </c>
      <c r="C2" t="s">
        <v>49</v>
      </c>
      <c r="D2" t="s">
        <v>50</v>
      </c>
      <c r="E2" t="s">
        <v>52</v>
      </c>
      <c r="F2" t="s">
        <v>51</v>
      </c>
      <c r="G2" t="s">
        <v>53</v>
      </c>
      <c r="H2" t="s">
        <v>54</v>
      </c>
      <c r="I2" t="s">
        <v>55</v>
      </c>
    </row>
    <row r="3" spans="1:9" x14ac:dyDescent="0.3">
      <c r="A3" t="str">
        <f>Master_sheet!A3</f>
        <v>Andaman &amp; Nicobar</v>
      </c>
      <c r="B3">
        <f>AVERAGE(Master_sheet!D3,Master_sheet!G3,Master_sheet!J3,Master_sheet!M3,Master_sheet!P3)</f>
        <v>3.2074280940446358</v>
      </c>
      <c r="C3">
        <f>MAX(Master_sheet!D3,Master_sheet!G3,Master_sheet!J3,Master_sheet!M3,Master_sheet!P3)</f>
        <v>3.8947368421052633</v>
      </c>
      <c r="D3">
        <f>MIN(Master_sheet!D3,Master_sheet!G3,Master_sheet!J3,Master_sheet!M3,Master_sheet!P3)</f>
        <v>2.6507936507936507</v>
      </c>
      <c r="E3">
        <f>RANK(B3,$B$3:$B$32,0)</f>
        <v>5</v>
      </c>
      <c r="F3">
        <f>SUM(Master_sheet!C3,Master_sheet!F3,Master_sheet!I3,Master_sheet!L3,Master_sheet!O3)</f>
        <v>1162</v>
      </c>
      <c r="G3">
        <f>RANK(F3,$F$3:$F$32,0)</f>
        <v>24</v>
      </c>
      <c r="H3">
        <f>F3/5</f>
        <v>232.4</v>
      </c>
      <c r="I3">
        <f>RANK(H3,$H$3:$H$32,0)</f>
        <v>24</v>
      </c>
    </row>
    <row r="4" spans="1:9" x14ac:dyDescent="0.3">
      <c r="A4" t="str">
        <f>Master_sheet!A4</f>
        <v>Andhra Pradesh</v>
      </c>
      <c r="B4">
        <f>AVERAGE(Master_sheet!D4,Master_sheet!G4,Master_sheet!J4,Master_sheet!M4,Master_sheet!P4)</f>
        <v>4.4683682970798237</v>
      </c>
      <c r="C4">
        <f>MAX(Master_sheet!D4,Master_sheet!G4,Master_sheet!J4,Master_sheet!M4,Master_sheet!P4)</f>
        <v>5.8499988673175816</v>
      </c>
      <c r="D4">
        <f>MIN(Master_sheet!D4,Master_sheet!G4,Master_sheet!J4,Master_sheet!M4,Master_sheet!P4)</f>
        <v>1.8563938738242389</v>
      </c>
      <c r="E4">
        <f t="shared" ref="E4:E32" si="0">RANK(B4,$B$3:$B$32,0)</f>
        <v>3</v>
      </c>
      <c r="F4">
        <f>SUM(Master_sheet!C4,Master_sheet!F4,Master_sheet!I4,Master_sheet!L4,Master_sheet!O4)</f>
        <v>4919095</v>
      </c>
      <c r="G4">
        <f t="shared" ref="G4:G32" si="1">RANK(F4,$F$3:$F$32,0)</f>
        <v>1</v>
      </c>
      <c r="H4">
        <f t="shared" ref="H4:H32" si="2">F4/5</f>
        <v>983819</v>
      </c>
      <c r="I4">
        <f t="shared" ref="I4:I32" si="3">RANK(H4,$H$3:$H$32,0)</f>
        <v>1</v>
      </c>
    </row>
    <row r="5" spans="1:9" x14ac:dyDescent="0.3">
      <c r="A5" t="str">
        <f>Master_sheet!A5</f>
        <v>Arunachal Pradesh</v>
      </c>
      <c r="B5">
        <f>AVERAGE(Master_sheet!D5,Master_sheet!G5,Master_sheet!J5,Master_sheet!M5,Master_sheet!P5)</f>
        <v>2.5865520397870716</v>
      </c>
      <c r="C5">
        <f>MAX(Master_sheet!D5,Master_sheet!G5,Master_sheet!J5,Master_sheet!M5,Master_sheet!P5)</f>
        <v>3.0278637770897832</v>
      </c>
      <c r="D5">
        <f>MIN(Master_sheet!D5,Master_sheet!G5,Master_sheet!J5,Master_sheet!M5,Master_sheet!P5)</f>
        <v>1.6666666666666667</v>
      </c>
      <c r="E5">
        <f t="shared" si="0"/>
        <v>8</v>
      </c>
      <c r="F5">
        <f>SUM(Master_sheet!C5,Master_sheet!F5,Master_sheet!I5,Master_sheet!L5,Master_sheet!O5)</f>
        <v>3390</v>
      </c>
      <c r="G5">
        <f t="shared" si="1"/>
        <v>21</v>
      </c>
      <c r="H5">
        <f t="shared" si="2"/>
        <v>678</v>
      </c>
      <c r="I5">
        <f t="shared" si="3"/>
        <v>21</v>
      </c>
    </row>
    <row r="6" spans="1:9" x14ac:dyDescent="0.3">
      <c r="A6" t="str">
        <f>Master_sheet!A6</f>
        <v>Assam</v>
      </c>
      <c r="B6">
        <f>AVERAGE(Master_sheet!D6,Master_sheet!G6,Master_sheet!J6,Master_sheet!M6,Master_sheet!P6)</f>
        <v>1.0221270332858754</v>
      </c>
      <c r="C6">
        <f>MAX(Master_sheet!D6,Master_sheet!G6,Master_sheet!J6,Master_sheet!M6,Master_sheet!P6)</f>
        <v>1.0377106942195982</v>
      </c>
      <c r="D6">
        <f>MIN(Master_sheet!D6,Master_sheet!G6,Master_sheet!J6,Master_sheet!M6,Master_sheet!P6)</f>
        <v>0.9868028740407645</v>
      </c>
      <c r="E6">
        <f t="shared" si="0"/>
        <v>18</v>
      </c>
      <c r="F6">
        <f>SUM(Master_sheet!C6,Master_sheet!F6,Master_sheet!I6,Master_sheet!L6,Master_sheet!O6)</f>
        <v>106546</v>
      </c>
      <c r="G6">
        <f t="shared" si="1"/>
        <v>9</v>
      </c>
      <c r="H6">
        <f t="shared" si="2"/>
        <v>21309.200000000001</v>
      </c>
      <c r="I6">
        <f t="shared" si="3"/>
        <v>9</v>
      </c>
    </row>
    <row r="7" spans="1:9" x14ac:dyDescent="0.3">
      <c r="A7" t="str">
        <f>Master_sheet!A7</f>
        <v>Bihar</v>
      </c>
      <c r="B7">
        <f>AVERAGE(Master_sheet!D7,Master_sheet!G7,Master_sheet!J7,Master_sheet!M7,Master_sheet!P7)</f>
        <v>2.1014205688924523</v>
      </c>
      <c r="C7">
        <f>MAX(Master_sheet!D7,Master_sheet!G7,Master_sheet!J7,Master_sheet!M7,Master_sheet!P7)</f>
        <v>2.703288490284006</v>
      </c>
      <c r="D7">
        <f>MIN(Master_sheet!D7,Master_sheet!G7,Master_sheet!J7,Master_sheet!M7,Master_sheet!P7)</f>
        <v>1.7551020408163265</v>
      </c>
      <c r="E7">
        <f t="shared" si="0"/>
        <v>11</v>
      </c>
      <c r="F7">
        <f>SUM(Master_sheet!C7,Master_sheet!F7,Master_sheet!I7,Master_sheet!L7,Master_sheet!O7)</f>
        <v>19518</v>
      </c>
      <c r="G7">
        <f t="shared" si="1"/>
        <v>17</v>
      </c>
      <c r="H7">
        <f t="shared" si="2"/>
        <v>3903.6</v>
      </c>
      <c r="I7">
        <f t="shared" si="3"/>
        <v>17</v>
      </c>
    </row>
    <row r="8" spans="1:9" x14ac:dyDescent="0.3">
      <c r="A8" t="str">
        <f>Master_sheet!A8</f>
        <v>Chhattisgarh</v>
      </c>
      <c r="B8">
        <f>AVERAGE(Master_sheet!D8,Master_sheet!G8,Master_sheet!J8,Master_sheet!M8,Master_sheet!P8)</f>
        <v>0.64429648505559989</v>
      </c>
      <c r="C8">
        <f>MAX(Master_sheet!D8,Master_sheet!G8,Master_sheet!J8,Master_sheet!M8,Master_sheet!P8)</f>
        <v>0.65826271186440677</v>
      </c>
      <c r="D8">
        <f>MIN(Master_sheet!D8,Master_sheet!G8,Master_sheet!J8,Master_sheet!M8,Master_sheet!P8)</f>
        <v>0.6</v>
      </c>
      <c r="E8">
        <f t="shared" si="0"/>
        <v>22</v>
      </c>
      <c r="F8">
        <f>SUM(Master_sheet!C8,Master_sheet!F8,Master_sheet!I8,Master_sheet!L8,Master_sheet!O8)</f>
        <v>15378</v>
      </c>
      <c r="G8">
        <f t="shared" si="1"/>
        <v>19</v>
      </c>
      <c r="H8">
        <f t="shared" si="2"/>
        <v>3075.6</v>
      </c>
      <c r="I8">
        <f t="shared" si="3"/>
        <v>19</v>
      </c>
    </row>
    <row r="9" spans="1:9" x14ac:dyDescent="0.3">
      <c r="A9" t="str">
        <f>Master_sheet!A9</f>
        <v>Goa</v>
      </c>
      <c r="B9">
        <f>AVERAGE(Master_sheet!D9,Master_sheet!G9,Master_sheet!J9,Master_sheet!M9,Master_sheet!P9)</f>
        <v>0</v>
      </c>
      <c r="C9">
        <f>MAX(Master_sheet!D9,Master_sheet!G9,Master_sheet!J9,Master_sheet!M9,Master_sheet!P9)</f>
        <v>0</v>
      </c>
      <c r="D9">
        <f>MIN(Master_sheet!D9,Master_sheet!G9,Master_sheet!J9,Master_sheet!M9,Master_sheet!P9)</f>
        <v>0</v>
      </c>
      <c r="E9">
        <f t="shared" si="0"/>
        <v>25</v>
      </c>
      <c r="F9">
        <f>SUM(Master_sheet!C9,Master_sheet!F9,Master_sheet!I9,Master_sheet!L9,Master_sheet!O9)</f>
        <v>0</v>
      </c>
      <c r="G9">
        <f t="shared" si="1"/>
        <v>25</v>
      </c>
      <c r="H9">
        <f t="shared" si="2"/>
        <v>0</v>
      </c>
      <c r="I9">
        <f t="shared" si="3"/>
        <v>25</v>
      </c>
    </row>
    <row r="10" spans="1:9" x14ac:dyDescent="0.3">
      <c r="A10" t="str">
        <f>Master_sheet!A10</f>
        <v>Gujarat</v>
      </c>
      <c r="B10">
        <f>AVERAGE(Master_sheet!D10,Master_sheet!G10,Master_sheet!J10,Master_sheet!M10,Master_sheet!P10)</f>
        <v>2.1670378446624339</v>
      </c>
      <c r="C10">
        <f>MAX(Master_sheet!D10,Master_sheet!G10,Master_sheet!J10,Master_sheet!M10,Master_sheet!P10)</f>
        <v>2.3490247074122235</v>
      </c>
      <c r="D10">
        <f>MIN(Master_sheet!D10,Master_sheet!G10,Master_sheet!J10,Master_sheet!M10,Master_sheet!P10)</f>
        <v>1.9568315171835708</v>
      </c>
      <c r="E10">
        <f t="shared" si="0"/>
        <v>10</v>
      </c>
      <c r="F10">
        <f>SUM(Master_sheet!C10,Master_sheet!F10,Master_sheet!I10,Master_sheet!L10,Master_sheet!O10)</f>
        <v>155030</v>
      </c>
      <c r="G10">
        <f t="shared" si="1"/>
        <v>6</v>
      </c>
      <c r="H10">
        <f t="shared" si="2"/>
        <v>31006</v>
      </c>
      <c r="I10">
        <f t="shared" si="3"/>
        <v>6</v>
      </c>
    </row>
    <row r="11" spans="1:9" x14ac:dyDescent="0.3">
      <c r="A11" t="str">
        <f>Master_sheet!A11</f>
        <v>Haryana</v>
      </c>
      <c r="B11">
        <f>AVERAGE(Master_sheet!D11,Master_sheet!G11,Master_sheet!J11,Master_sheet!M11,Master_sheet!P11)</f>
        <v>0</v>
      </c>
      <c r="C11">
        <f>MAX(Master_sheet!D11,Master_sheet!G11,Master_sheet!J11,Master_sheet!M11,Master_sheet!P11)</f>
        <v>0</v>
      </c>
      <c r="D11">
        <f>MIN(Master_sheet!D11,Master_sheet!G11,Master_sheet!J11,Master_sheet!M11,Master_sheet!P11)</f>
        <v>0</v>
      </c>
      <c r="E11">
        <f t="shared" si="0"/>
        <v>25</v>
      </c>
      <c r="F11">
        <f>SUM(Master_sheet!C11,Master_sheet!F11,Master_sheet!I11,Master_sheet!L11,Master_sheet!O11)</f>
        <v>0</v>
      </c>
      <c r="G11">
        <f t="shared" si="1"/>
        <v>25</v>
      </c>
      <c r="H11">
        <f t="shared" si="2"/>
        <v>0</v>
      </c>
      <c r="I11">
        <f t="shared" si="3"/>
        <v>25</v>
      </c>
    </row>
    <row r="12" spans="1:9" x14ac:dyDescent="0.3">
      <c r="A12" t="str">
        <f>Master_sheet!A12</f>
        <v>Himachal Pradesh</v>
      </c>
      <c r="B12">
        <f>AVERAGE(Master_sheet!D12,Master_sheet!G12,Master_sheet!J12,Master_sheet!M12,Master_sheet!P12)</f>
        <v>0.62199136439987879</v>
      </c>
      <c r="C12">
        <f>MAX(Master_sheet!D12,Master_sheet!G12,Master_sheet!J12,Master_sheet!M12,Master_sheet!P12)</f>
        <v>0.62990654205607477</v>
      </c>
      <c r="D12">
        <f>MIN(Master_sheet!D12,Master_sheet!G12,Master_sheet!J12,Master_sheet!M12,Master_sheet!P12)</f>
        <v>0.61166666666666669</v>
      </c>
      <c r="E12">
        <f t="shared" si="0"/>
        <v>23</v>
      </c>
      <c r="F12">
        <f>SUM(Master_sheet!C12,Master_sheet!F12,Master_sheet!I12,Master_sheet!L12,Master_sheet!O12)</f>
        <v>1856</v>
      </c>
      <c r="G12">
        <f t="shared" si="1"/>
        <v>23</v>
      </c>
      <c r="H12">
        <f t="shared" si="2"/>
        <v>371.2</v>
      </c>
      <c r="I12">
        <f t="shared" si="3"/>
        <v>23</v>
      </c>
    </row>
    <row r="13" spans="1:9" x14ac:dyDescent="0.3">
      <c r="A13" t="str">
        <f>Master_sheet!A13</f>
        <v>Jharkhand</v>
      </c>
      <c r="B13">
        <f>AVERAGE(Master_sheet!D13,Master_sheet!G13,Master_sheet!J13,Master_sheet!M13,Master_sheet!P13)</f>
        <v>0</v>
      </c>
      <c r="C13">
        <f>MAX(Master_sheet!D13,Master_sheet!G13,Master_sheet!J13,Master_sheet!M13,Master_sheet!P13)</f>
        <v>0</v>
      </c>
      <c r="D13">
        <f>MIN(Master_sheet!D13,Master_sheet!G13,Master_sheet!J13,Master_sheet!M13,Master_sheet!P13)</f>
        <v>0</v>
      </c>
      <c r="E13">
        <f t="shared" si="0"/>
        <v>25</v>
      </c>
      <c r="F13">
        <f>SUM(Master_sheet!C13,Master_sheet!F13,Master_sheet!I13,Master_sheet!L13,Master_sheet!O13)</f>
        <v>0</v>
      </c>
      <c r="G13">
        <f t="shared" si="1"/>
        <v>25</v>
      </c>
      <c r="H13">
        <f t="shared" si="2"/>
        <v>0</v>
      </c>
      <c r="I13">
        <f t="shared" si="3"/>
        <v>25</v>
      </c>
    </row>
    <row r="14" spans="1:9" x14ac:dyDescent="0.3">
      <c r="A14" t="str">
        <f>Master_sheet!A14</f>
        <v>Karnataka</v>
      </c>
      <c r="B14">
        <f>AVERAGE(Master_sheet!D14,Master_sheet!G14,Master_sheet!J14,Master_sheet!M14,Master_sheet!P14)</f>
        <v>1.5476799838134905</v>
      </c>
      <c r="C14">
        <f>MAX(Master_sheet!D14,Master_sheet!G14,Master_sheet!J14,Master_sheet!M14,Master_sheet!P14)</f>
        <v>1.7179022874366223</v>
      </c>
      <c r="D14">
        <f>MIN(Master_sheet!D14,Master_sheet!G14,Master_sheet!J14,Master_sheet!M14,Master_sheet!P14)</f>
        <v>1.3598407865573545</v>
      </c>
      <c r="E14">
        <f t="shared" si="0"/>
        <v>16</v>
      </c>
      <c r="F14">
        <f>SUM(Master_sheet!C14,Master_sheet!F14,Master_sheet!I14,Master_sheet!L14,Master_sheet!O14)</f>
        <v>1104341</v>
      </c>
      <c r="G14">
        <f t="shared" si="1"/>
        <v>4</v>
      </c>
      <c r="H14">
        <f t="shared" si="2"/>
        <v>220868.2</v>
      </c>
      <c r="I14">
        <f t="shared" si="3"/>
        <v>4</v>
      </c>
    </row>
    <row r="15" spans="1:9" x14ac:dyDescent="0.3">
      <c r="A15" t="str">
        <f>Master_sheet!A15</f>
        <v>Kerala</v>
      </c>
      <c r="B15">
        <f>AVERAGE(Master_sheet!D15,Master_sheet!G15,Master_sheet!J15,Master_sheet!M15,Master_sheet!P15)</f>
        <v>0</v>
      </c>
      <c r="C15">
        <f>MAX(Master_sheet!D15,Master_sheet!G15,Master_sheet!J15,Master_sheet!M15,Master_sheet!P15)</f>
        <v>0</v>
      </c>
      <c r="D15">
        <f>MIN(Master_sheet!D15,Master_sheet!G15,Master_sheet!J15,Master_sheet!M15,Master_sheet!P15)</f>
        <v>0</v>
      </c>
      <c r="E15">
        <f t="shared" si="0"/>
        <v>25</v>
      </c>
      <c r="F15">
        <f>SUM(Master_sheet!C15,Master_sheet!F15,Master_sheet!I15,Master_sheet!L15,Master_sheet!O15)</f>
        <v>0</v>
      </c>
      <c r="G15">
        <f t="shared" si="1"/>
        <v>25</v>
      </c>
      <c r="H15">
        <f t="shared" si="2"/>
        <v>0</v>
      </c>
      <c r="I15">
        <f t="shared" si="3"/>
        <v>25</v>
      </c>
    </row>
    <row r="16" spans="1:9" x14ac:dyDescent="0.3">
      <c r="A16" t="str">
        <f>Master_sheet!A16</f>
        <v>Madhya Pradesh</v>
      </c>
      <c r="B16">
        <f>AVERAGE(Master_sheet!D16,Master_sheet!G16,Master_sheet!J16,Master_sheet!M16,Master_sheet!P16)</f>
        <v>2.5721774294444577</v>
      </c>
      <c r="C16">
        <f>MAX(Master_sheet!D16,Master_sheet!G16,Master_sheet!J16,Master_sheet!M16,Master_sheet!P16)</f>
        <v>2.6517946140280628</v>
      </c>
      <c r="D16">
        <f>MIN(Master_sheet!D16,Master_sheet!G16,Master_sheet!J16,Master_sheet!M16,Master_sheet!P16)</f>
        <v>2.3839829605963789</v>
      </c>
      <c r="E16">
        <f t="shared" si="0"/>
        <v>9</v>
      </c>
      <c r="F16">
        <f>SUM(Master_sheet!C16,Master_sheet!F16,Master_sheet!I16,Master_sheet!L16,Master_sheet!O16)</f>
        <v>1528063</v>
      </c>
      <c r="G16">
        <f t="shared" si="1"/>
        <v>3</v>
      </c>
      <c r="H16">
        <f t="shared" si="2"/>
        <v>305612.59999999998</v>
      </c>
      <c r="I16">
        <f t="shared" si="3"/>
        <v>3</v>
      </c>
    </row>
    <row r="17" spans="1:9" x14ac:dyDescent="0.3">
      <c r="A17" t="str">
        <f>Master_sheet!A17</f>
        <v>Maharashtra</v>
      </c>
      <c r="B17">
        <f>AVERAGE(Master_sheet!D17,Master_sheet!G17,Master_sheet!J17,Master_sheet!M17,Master_sheet!P17)</f>
        <v>3.2396485197248075</v>
      </c>
      <c r="C17">
        <f>MAX(Master_sheet!D17,Master_sheet!G17,Master_sheet!J17,Master_sheet!M17,Master_sheet!P17)</f>
        <v>4.3682426404995542</v>
      </c>
      <c r="D17">
        <f>MIN(Master_sheet!D17,Master_sheet!G17,Master_sheet!J17,Master_sheet!M17,Master_sheet!P17)</f>
        <v>2.4626051039976398</v>
      </c>
      <c r="E17">
        <f t="shared" si="0"/>
        <v>4</v>
      </c>
      <c r="F17">
        <f>SUM(Master_sheet!C17,Master_sheet!F17,Master_sheet!I17,Master_sheet!L17,Master_sheet!O17)</f>
        <v>98900</v>
      </c>
      <c r="G17">
        <f t="shared" si="1"/>
        <v>11</v>
      </c>
      <c r="H17">
        <f t="shared" si="2"/>
        <v>19780</v>
      </c>
      <c r="I17">
        <f t="shared" si="3"/>
        <v>11</v>
      </c>
    </row>
    <row r="18" spans="1:9" x14ac:dyDescent="0.3">
      <c r="A18" t="str">
        <f>Master_sheet!A18</f>
        <v>Manipur</v>
      </c>
      <c r="B18">
        <f>AVERAGE(Master_sheet!D18,Master_sheet!G18,Master_sheet!J18,Master_sheet!M18,Master_sheet!P18)</f>
        <v>5.325333333333333</v>
      </c>
      <c r="C18">
        <f>MAX(Master_sheet!D18,Master_sheet!G18,Master_sheet!J18,Master_sheet!M18,Master_sheet!P18)</f>
        <v>12.713333333333333</v>
      </c>
      <c r="D18">
        <f>MIN(Master_sheet!D18,Master_sheet!G18,Master_sheet!J18,Master_sheet!M18,Master_sheet!P18)</f>
        <v>0</v>
      </c>
      <c r="E18">
        <f t="shared" si="0"/>
        <v>1</v>
      </c>
      <c r="F18">
        <f>SUM(Master_sheet!C18,Master_sheet!F18,Master_sheet!I18,Master_sheet!L18,Master_sheet!O18)</f>
        <v>10280</v>
      </c>
      <c r="G18">
        <f t="shared" si="1"/>
        <v>20</v>
      </c>
      <c r="H18">
        <f t="shared" si="2"/>
        <v>2056</v>
      </c>
      <c r="I18">
        <f t="shared" si="3"/>
        <v>20</v>
      </c>
    </row>
    <row r="19" spans="1:9" x14ac:dyDescent="0.3">
      <c r="A19" t="str">
        <f>Master_sheet!A19</f>
        <v>Meghalaya</v>
      </c>
      <c r="B19">
        <f>AVERAGE(Master_sheet!D19,Master_sheet!G19,Master_sheet!J19,Master_sheet!M19,Master_sheet!P19)</f>
        <v>0</v>
      </c>
      <c r="C19">
        <f>MAX(Master_sheet!D19,Master_sheet!G19,Master_sheet!J19,Master_sheet!M19,Master_sheet!P19)</f>
        <v>0</v>
      </c>
      <c r="D19">
        <f>MIN(Master_sheet!D19,Master_sheet!G19,Master_sheet!J19,Master_sheet!M19,Master_sheet!P19)</f>
        <v>0</v>
      </c>
      <c r="E19">
        <f t="shared" si="0"/>
        <v>25</v>
      </c>
      <c r="F19">
        <f>SUM(Master_sheet!C19,Master_sheet!F19,Master_sheet!I19,Master_sheet!L19,Master_sheet!O19)</f>
        <v>0</v>
      </c>
      <c r="G19">
        <f t="shared" si="1"/>
        <v>25</v>
      </c>
      <c r="H19">
        <f t="shared" si="2"/>
        <v>0</v>
      </c>
      <c r="I19">
        <f t="shared" si="3"/>
        <v>25</v>
      </c>
    </row>
    <row r="20" spans="1:9" x14ac:dyDescent="0.3">
      <c r="A20" t="str">
        <f>Master_sheet!A20</f>
        <v>Mizoram</v>
      </c>
      <c r="B20">
        <f>AVERAGE(Master_sheet!D20,Master_sheet!G20,Master_sheet!J20,Master_sheet!M20,Master_sheet!P20)</f>
        <v>0.98801369281804408</v>
      </c>
      <c r="C20">
        <f>MAX(Master_sheet!D20,Master_sheet!G20,Master_sheet!J20,Master_sheet!M20,Master_sheet!P20)</f>
        <v>0.99835405998536941</v>
      </c>
      <c r="D20">
        <f>MIN(Master_sheet!D20,Master_sheet!G20,Master_sheet!J20,Master_sheet!M20,Master_sheet!P20)</f>
        <v>0.97516970346552345</v>
      </c>
      <c r="E20">
        <f t="shared" si="0"/>
        <v>19</v>
      </c>
      <c r="F20">
        <f>SUM(Master_sheet!C20,Master_sheet!F20,Master_sheet!I20,Master_sheet!L20,Master_sheet!O20)</f>
        <v>53632</v>
      </c>
      <c r="G20">
        <f t="shared" si="1"/>
        <v>14</v>
      </c>
      <c r="H20">
        <f t="shared" si="2"/>
        <v>10726.4</v>
      </c>
      <c r="I20">
        <f t="shared" si="3"/>
        <v>14</v>
      </c>
    </row>
    <row r="21" spans="1:9" x14ac:dyDescent="0.3">
      <c r="A21" t="str">
        <f>Master_sheet!A21</f>
        <v>Nagaland</v>
      </c>
      <c r="B21">
        <f>AVERAGE(Master_sheet!D21,Master_sheet!G21,Master_sheet!J21,Master_sheet!M21,Master_sheet!P21)</f>
        <v>1.9829771477819396</v>
      </c>
      <c r="C21">
        <f>MAX(Master_sheet!D21,Master_sheet!G21,Master_sheet!J21,Master_sheet!M21,Master_sheet!P21)</f>
        <v>2.1858585858585857</v>
      </c>
      <c r="D21">
        <f>MIN(Master_sheet!D21,Master_sheet!G21,Master_sheet!J21,Master_sheet!M21,Master_sheet!P21)</f>
        <v>1.2233463035019456</v>
      </c>
      <c r="E21">
        <f t="shared" si="0"/>
        <v>13</v>
      </c>
      <c r="F21">
        <f>SUM(Master_sheet!C21,Master_sheet!F21,Master_sheet!I21,Master_sheet!L21,Master_sheet!O21)</f>
        <v>19367</v>
      </c>
      <c r="G21">
        <f t="shared" si="1"/>
        <v>18</v>
      </c>
      <c r="H21">
        <f t="shared" si="2"/>
        <v>3873.4</v>
      </c>
      <c r="I21">
        <f t="shared" si="3"/>
        <v>18</v>
      </c>
    </row>
    <row r="22" spans="1:9" x14ac:dyDescent="0.3">
      <c r="A22" t="str">
        <f>Master_sheet!A22</f>
        <v>Odisha</v>
      </c>
      <c r="B22">
        <f>AVERAGE(Master_sheet!D22,Master_sheet!G22,Master_sheet!J22,Master_sheet!M22,Master_sheet!P22)</f>
        <v>1.1046817747717816</v>
      </c>
      <c r="C22">
        <f>MAX(Master_sheet!D22,Master_sheet!G22,Master_sheet!J22,Master_sheet!M22,Master_sheet!P22)</f>
        <v>1.1970732232205306</v>
      </c>
      <c r="D22">
        <f>MIN(Master_sheet!D22,Master_sheet!G22,Master_sheet!J22,Master_sheet!M22,Master_sheet!P22)</f>
        <v>0.9659409475724906</v>
      </c>
      <c r="E22">
        <f t="shared" si="0"/>
        <v>17</v>
      </c>
      <c r="F22">
        <f>SUM(Master_sheet!C22,Master_sheet!F22,Master_sheet!I22,Master_sheet!L22,Master_sheet!O22)</f>
        <v>405537</v>
      </c>
      <c r="G22">
        <f t="shared" si="1"/>
        <v>5</v>
      </c>
      <c r="H22">
        <f t="shared" si="2"/>
        <v>81107.399999999994</v>
      </c>
      <c r="I22">
        <f t="shared" si="3"/>
        <v>5</v>
      </c>
    </row>
    <row r="23" spans="1:9" x14ac:dyDescent="0.3">
      <c r="A23" t="str">
        <f>Master_sheet!A23</f>
        <v>Punjab</v>
      </c>
      <c r="B23">
        <f>AVERAGE(Master_sheet!D23,Master_sheet!G23,Master_sheet!J23,Master_sheet!M23,Master_sheet!P23)</f>
        <v>2.018106822234393</v>
      </c>
      <c r="C23">
        <f>MAX(Master_sheet!D23,Master_sheet!G23,Master_sheet!J23,Master_sheet!M23,Master_sheet!P23)</f>
        <v>2.0258817336374801</v>
      </c>
      <c r="D23">
        <f>MIN(Master_sheet!D23,Master_sheet!G23,Master_sheet!J23,Master_sheet!M23,Master_sheet!P23)</f>
        <v>2.0086589951008316</v>
      </c>
      <c r="E23">
        <f t="shared" si="0"/>
        <v>12</v>
      </c>
      <c r="F23">
        <f>SUM(Master_sheet!C23,Master_sheet!F23,Master_sheet!I23,Master_sheet!L23,Master_sheet!O23)</f>
        <v>105191</v>
      </c>
      <c r="G23">
        <f t="shared" si="1"/>
        <v>10</v>
      </c>
      <c r="H23">
        <f t="shared" si="2"/>
        <v>21038.2</v>
      </c>
      <c r="I23">
        <f t="shared" si="3"/>
        <v>10</v>
      </c>
    </row>
    <row r="24" spans="1:9" x14ac:dyDescent="0.3">
      <c r="A24" t="str">
        <f>Master_sheet!A24</f>
        <v>Rajasthan</v>
      </c>
      <c r="B24">
        <f>AVERAGE(Master_sheet!D24,Master_sheet!G24,Master_sheet!J24,Master_sheet!M24,Master_sheet!P24)</f>
        <v>1.839407790386818</v>
      </c>
      <c r="C24">
        <f>MAX(Master_sheet!D24,Master_sheet!G24,Master_sheet!J24,Master_sheet!M24,Master_sheet!P24)</f>
        <v>2.2179729034470932</v>
      </c>
      <c r="D24">
        <f>MIN(Master_sheet!D24,Master_sheet!G24,Master_sheet!J24,Master_sheet!M24,Master_sheet!P24)</f>
        <v>1.654550961684083</v>
      </c>
      <c r="E24">
        <f t="shared" si="0"/>
        <v>15</v>
      </c>
      <c r="F24">
        <f>SUM(Master_sheet!C24,Master_sheet!F24,Master_sheet!I24,Master_sheet!L24,Master_sheet!O24)</f>
        <v>63362</v>
      </c>
      <c r="G24">
        <f t="shared" si="1"/>
        <v>13</v>
      </c>
      <c r="H24">
        <f t="shared" si="2"/>
        <v>12672.4</v>
      </c>
      <c r="I24">
        <f t="shared" si="3"/>
        <v>13</v>
      </c>
    </row>
    <row r="25" spans="1:9" x14ac:dyDescent="0.3">
      <c r="A25" t="str">
        <f>Master_sheet!A25</f>
        <v>Sikkim</v>
      </c>
      <c r="B25">
        <f>AVERAGE(Master_sheet!D25,Master_sheet!G25,Master_sheet!J25,Master_sheet!M25,Master_sheet!P25)</f>
        <v>0</v>
      </c>
      <c r="C25">
        <f>MAX(Master_sheet!D25,Master_sheet!G25,Master_sheet!J25,Master_sheet!M25,Master_sheet!P25)</f>
        <v>0</v>
      </c>
      <c r="D25">
        <f>MIN(Master_sheet!D25,Master_sheet!G25,Master_sheet!J25,Master_sheet!M25,Master_sheet!P25)</f>
        <v>0</v>
      </c>
      <c r="E25">
        <f t="shared" si="0"/>
        <v>25</v>
      </c>
      <c r="F25">
        <f>SUM(Master_sheet!C25,Master_sheet!F25,Master_sheet!I25,Master_sheet!L25,Master_sheet!O25)</f>
        <v>0</v>
      </c>
      <c r="G25">
        <f t="shared" si="1"/>
        <v>25</v>
      </c>
      <c r="H25">
        <f t="shared" si="2"/>
        <v>0</v>
      </c>
      <c r="I25">
        <f t="shared" si="3"/>
        <v>25</v>
      </c>
    </row>
    <row r="26" spans="1:9" x14ac:dyDescent="0.3">
      <c r="A26" t="str">
        <f>Master_sheet!A26</f>
        <v>Tamil Nadu</v>
      </c>
      <c r="B26">
        <f>AVERAGE(Master_sheet!D26,Master_sheet!G26,Master_sheet!J26,Master_sheet!M26,Master_sheet!P26)</f>
        <v>0.53055275552658177</v>
      </c>
      <c r="C26">
        <f>MAX(Master_sheet!D26,Master_sheet!G26,Master_sheet!J26,Master_sheet!M26,Master_sheet!P26)</f>
        <v>0.62220595114609389</v>
      </c>
      <c r="D26">
        <f>MIN(Master_sheet!D26,Master_sheet!G26,Master_sheet!J26,Master_sheet!M26,Master_sheet!P26)</f>
        <v>0.46203348576486208</v>
      </c>
      <c r="E26">
        <f t="shared" si="0"/>
        <v>24</v>
      </c>
      <c r="F26">
        <f>SUM(Master_sheet!C26,Master_sheet!F26,Master_sheet!I26,Master_sheet!L26,Master_sheet!O26)</f>
        <v>135882</v>
      </c>
      <c r="G26">
        <f t="shared" si="1"/>
        <v>7</v>
      </c>
      <c r="H26">
        <f t="shared" si="2"/>
        <v>27176.400000000001</v>
      </c>
      <c r="I26">
        <f t="shared" si="3"/>
        <v>7</v>
      </c>
    </row>
    <row r="27" spans="1:9" x14ac:dyDescent="0.3">
      <c r="A27" t="str">
        <f>Master_sheet!A27</f>
        <v>Telangana</v>
      </c>
      <c r="B27">
        <f>AVERAGE(Master_sheet!D27,Master_sheet!G27,Master_sheet!J27,Master_sheet!M27,Master_sheet!P27)</f>
        <v>4.9488645041021524</v>
      </c>
      <c r="C27">
        <f>MAX(Master_sheet!D27,Master_sheet!G27,Master_sheet!J27,Master_sheet!M27,Master_sheet!P27)</f>
        <v>6.0180021535286468</v>
      </c>
      <c r="D27">
        <f>MIN(Master_sheet!D27,Master_sheet!G27,Master_sheet!J27,Master_sheet!M27,Master_sheet!P27)</f>
        <v>4.1458623740508065</v>
      </c>
      <c r="E27">
        <f t="shared" si="0"/>
        <v>2</v>
      </c>
      <c r="F27">
        <f>SUM(Master_sheet!C27,Master_sheet!F27,Master_sheet!I27,Master_sheet!L27,Master_sheet!O27)</f>
        <v>3244054</v>
      </c>
      <c r="G27">
        <f t="shared" si="1"/>
        <v>2</v>
      </c>
      <c r="H27">
        <f t="shared" si="2"/>
        <v>648810.80000000005</v>
      </c>
      <c r="I27">
        <f t="shared" si="3"/>
        <v>2</v>
      </c>
    </row>
    <row r="28" spans="1:9" x14ac:dyDescent="0.3">
      <c r="A28" t="str">
        <f>Master_sheet!A28</f>
        <v>Tripura</v>
      </c>
      <c r="B28">
        <f>AVERAGE(Master_sheet!D28,Master_sheet!G28,Master_sheet!J28,Master_sheet!M28,Master_sheet!P28)</f>
        <v>2.7286207600519186</v>
      </c>
      <c r="C28">
        <f>MAX(Master_sheet!D28,Master_sheet!G28,Master_sheet!J28,Master_sheet!M28,Master_sheet!P28)</f>
        <v>2.9800427655024948</v>
      </c>
      <c r="D28">
        <f>MIN(Master_sheet!D28,Master_sheet!G28,Master_sheet!J28,Master_sheet!M28,Master_sheet!P28)</f>
        <v>2.3394957983193279</v>
      </c>
      <c r="E28">
        <f t="shared" si="0"/>
        <v>7</v>
      </c>
      <c r="F28">
        <f>SUM(Master_sheet!C28,Master_sheet!F28,Master_sheet!I28,Master_sheet!L28,Master_sheet!O28)</f>
        <v>38720</v>
      </c>
      <c r="G28">
        <f t="shared" si="1"/>
        <v>16</v>
      </c>
      <c r="H28">
        <f t="shared" si="2"/>
        <v>7744</v>
      </c>
      <c r="I28">
        <f t="shared" si="3"/>
        <v>16</v>
      </c>
    </row>
    <row r="29" spans="1:9" x14ac:dyDescent="0.3">
      <c r="A29" t="str">
        <f>Master_sheet!A29</f>
        <v>Uttar Pradesh</v>
      </c>
      <c r="B29">
        <f>AVERAGE(Master_sheet!D29,Master_sheet!G29,Master_sheet!J29,Master_sheet!M29,Master_sheet!P29)</f>
        <v>0.87478846574465263</v>
      </c>
      <c r="C29">
        <f>MAX(Master_sheet!D29,Master_sheet!G29,Master_sheet!J29,Master_sheet!M29,Master_sheet!P29)</f>
        <v>0.90664014687882499</v>
      </c>
      <c r="D29">
        <f>MIN(Master_sheet!D29,Master_sheet!G29,Master_sheet!J29,Master_sheet!M29,Master_sheet!P29)</f>
        <v>0.81772542961961769</v>
      </c>
      <c r="E29">
        <f t="shared" si="0"/>
        <v>20</v>
      </c>
      <c r="F29">
        <f>SUM(Master_sheet!C29,Master_sheet!F29,Master_sheet!I29,Master_sheet!L29,Master_sheet!O29)</f>
        <v>124224</v>
      </c>
      <c r="G29">
        <f t="shared" si="1"/>
        <v>8</v>
      </c>
      <c r="H29">
        <f t="shared" si="2"/>
        <v>24844.799999999999</v>
      </c>
      <c r="I29">
        <f t="shared" si="3"/>
        <v>8</v>
      </c>
    </row>
    <row r="30" spans="1:9" x14ac:dyDescent="0.3">
      <c r="A30" t="str">
        <f>Master_sheet!A30</f>
        <v>Uttarakhand</v>
      </c>
      <c r="B30">
        <f>AVERAGE(Master_sheet!D30,Master_sheet!G30,Master_sheet!J30,Master_sheet!M30,Master_sheet!P30)</f>
        <v>3.1022756889645215</v>
      </c>
      <c r="C30">
        <f>MAX(Master_sheet!D30,Master_sheet!G30,Master_sheet!J30,Master_sheet!M30,Master_sheet!P30)</f>
        <v>3.3929480189022172</v>
      </c>
      <c r="D30">
        <f>MIN(Master_sheet!D30,Master_sheet!G30,Master_sheet!J30,Master_sheet!M30,Master_sheet!P30)</f>
        <v>2.8582408198121265</v>
      </c>
      <c r="E30">
        <f t="shared" si="0"/>
        <v>6</v>
      </c>
      <c r="F30">
        <f>SUM(Master_sheet!C30,Master_sheet!F30,Master_sheet!I30,Master_sheet!L30,Master_sheet!O30)</f>
        <v>49921</v>
      </c>
      <c r="G30">
        <f t="shared" si="1"/>
        <v>15</v>
      </c>
      <c r="H30">
        <f t="shared" si="2"/>
        <v>9984.2000000000007</v>
      </c>
      <c r="I30">
        <f t="shared" si="3"/>
        <v>15</v>
      </c>
    </row>
    <row r="31" spans="1:9" x14ac:dyDescent="0.3">
      <c r="A31" t="str">
        <f>Master_sheet!A31</f>
        <v>West Bengal</v>
      </c>
      <c r="B31">
        <f>AVERAGE(Master_sheet!D31,Master_sheet!G31,Master_sheet!J31,Master_sheet!M31,Master_sheet!P31)</f>
        <v>1.8950717204474814</v>
      </c>
      <c r="C31">
        <f>MAX(Master_sheet!D31,Master_sheet!G31,Master_sheet!J31,Master_sheet!M31,Master_sheet!P31)</f>
        <v>2.0663465183874639</v>
      </c>
      <c r="D31">
        <f>MIN(Master_sheet!D31,Master_sheet!G31,Master_sheet!J31,Master_sheet!M31,Master_sheet!P31)</f>
        <v>1.5864097363083165</v>
      </c>
      <c r="E31">
        <f t="shared" si="0"/>
        <v>14</v>
      </c>
      <c r="F31">
        <f>SUM(Master_sheet!C31,Master_sheet!F31,Master_sheet!I31,Master_sheet!L31,Master_sheet!O31)</f>
        <v>63718</v>
      </c>
      <c r="G31">
        <f t="shared" si="1"/>
        <v>12</v>
      </c>
      <c r="H31">
        <f t="shared" si="2"/>
        <v>12743.6</v>
      </c>
      <c r="I31">
        <f t="shared" si="3"/>
        <v>12</v>
      </c>
    </row>
    <row r="32" spans="1:9" x14ac:dyDescent="0.3">
      <c r="A32" t="str">
        <f>Master_sheet!A32</f>
        <v>Jammu and Kashmir</v>
      </c>
      <c r="B32">
        <f>AVERAGE(Master_sheet!D32,Master_sheet!G32,Master_sheet!J32,Master_sheet!M32,Master_sheet!P32)</f>
        <v>0.78768579399378036</v>
      </c>
      <c r="C32">
        <f>MAX(Master_sheet!D32,Master_sheet!G32,Master_sheet!J32,Master_sheet!M32,Master_sheet!P32)</f>
        <v>0.82981927710843373</v>
      </c>
      <c r="D32">
        <f>MIN(Master_sheet!D32,Master_sheet!G32,Master_sheet!J32,Master_sheet!M32,Master_sheet!P32)</f>
        <v>0.75912408759124084</v>
      </c>
      <c r="E32">
        <f t="shared" si="0"/>
        <v>21</v>
      </c>
      <c r="F32">
        <f>SUM(Master_sheet!C32,Master_sheet!F32,Master_sheet!I32,Master_sheet!L32,Master_sheet!O32)</f>
        <v>2611</v>
      </c>
      <c r="G32">
        <f t="shared" si="1"/>
        <v>22</v>
      </c>
      <c r="H32">
        <f t="shared" si="2"/>
        <v>522.20000000000005</v>
      </c>
      <c r="I32">
        <f t="shared" si="3"/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7F4205-48AF-40D0-8EC2-F2C3EBFFE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Master_sheet</vt:lpstr>
      <vt:lpstr>Yield&amp;Production_Summary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saichand kadiyala</dc:creator>
  <cp:lastModifiedBy>saichand kadiyala</cp:lastModifiedBy>
  <dcterms:created xsi:type="dcterms:W3CDTF">2026-06-04T09:21:16Z</dcterms:created>
  <dcterms:modified xsi:type="dcterms:W3CDTF">2026-09-23T13:03:07Z</dcterms:modified>
</cp:coreProperties>
</file>